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ssitahvonen/Documents/ideation/bunching/"/>
    </mc:Choice>
  </mc:AlternateContent>
  <xr:revisionPtr revIDLastSave="0" documentId="13_ncr:1_{39623B21-CE3C-2148-B891-408A893B627D}" xr6:coauthVersionLast="47" xr6:coauthVersionMax="47" xr10:uidLastSave="{00000000-0000-0000-0000-000000000000}"/>
  <bookViews>
    <workbookView xWindow="1500" yWindow="1320" windowWidth="27640" windowHeight="16940" xr2:uid="{5A7EC9D8-0FDF-BE4B-8909-D59EF9FF59C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6" i="1" l="1"/>
  <c r="S15" i="1"/>
  <c r="S14" i="1"/>
  <c r="S13" i="1"/>
  <c r="S12" i="1"/>
  <c r="S11" i="1"/>
  <c r="S10" i="1"/>
  <c r="S9" i="1"/>
  <c r="S8" i="1"/>
  <c r="S7" i="1"/>
  <c r="S6" i="1"/>
  <c r="S5" i="1"/>
  <c r="S4" i="1"/>
  <c r="S3" i="1"/>
  <c r="S2" i="1"/>
  <c r="A21" i="1"/>
  <c r="D21" i="1" s="1"/>
  <c r="A20" i="1"/>
  <c r="D20" i="1" s="1"/>
  <c r="A19" i="1"/>
  <c r="D19" i="1" s="1"/>
  <c r="A18" i="1"/>
  <c r="D18" i="1" s="1"/>
  <c r="A17" i="1"/>
  <c r="D17" i="1" s="1"/>
  <c r="G19" i="1"/>
  <c r="K17" i="1"/>
  <c r="O19" i="1"/>
  <c r="O20" i="1" s="1"/>
  <c r="O21" i="1" s="1"/>
  <c r="O18" i="1"/>
  <c r="D16" i="1"/>
  <c r="N16" i="1" s="1"/>
  <c r="D15" i="1"/>
  <c r="D14" i="1"/>
  <c r="D13" i="1"/>
  <c r="J13" i="1" s="1"/>
  <c r="D12" i="1"/>
  <c r="C16" i="1"/>
  <c r="C15" i="1"/>
  <c r="C14" i="1"/>
  <c r="I14" i="1" s="1"/>
  <c r="C13" i="1"/>
  <c r="C12" i="1"/>
  <c r="B16" i="1"/>
  <c r="H16" i="1" s="1"/>
  <c r="B15" i="1"/>
  <c r="B14" i="1"/>
  <c r="B13" i="1"/>
  <c r="L13" i="1" s="1"/>
  <c r="B12" i="1"/>
  <c r="A16" i="1"/>
  <c r="A15" i="1"/>
  <c r="K15" i="1" s="1"/>
  <c r="A14" i="1"/>
  <c r="A13" i="1"/>
  <c r="K13" i="1" s="1"/>
  <c r="A12" i="1"/>
  <c r="G16" i="1"/>
  <c r="I16" i="1"/>
  <c r="K16" i="1"/>
  <c r="L16" i="1"/>
  <c r="M16" i="1"/>
  <c r="N15" i="1"/>
  <c r="M15" i="1"/>
  <c r="L15" i="1"/>
  <c r="J15" i="1"/>
  <c r="I15" i="1"/>
  <c r="H15" i="1"/>
  <c r="N14" i="1"/>
  <c r="M14" i="1"/>
  <c r="L14" i="1"/>
  <c r="K14" i="1"/>
  <c r="J14" i="1"/>
  <c r="H14" i="1"/>
  <c r="N13" i="1"/>
  <c r="M13" i="1"/>
  <c r="I13" i="1"/>
  <c r="H13" i="1"/>
  <c r="N12" i="1"/>
  <c r="M12" i="1"/>
  <c r="L12" i="1"/>
  <c r="K12" i="1"/>
  <c r="J12" i="1"/>
  <c r="I12" i="1"/>
  <c r="H12" i="1"/>
  <c r="G14" i="1"/>
  <c r="G13" i="1"/>
  <c r="G12" i="1"/>
  <c r="O16" i="1"/>
  <c r="O15" i="1"/>
  <c r="O14" i="1"/>
  <c r="O13" i="1"/>
  <c r="R16" i="1"/>
  <c r="R15" i="1"/>
  <c r="R14" i="1"/>
  <c r="R13" i="1"/>
  <c r="R12" i="1"/>
  <c r="R11" i="1"/>
  <c r="R10" i="1"/>
  <c r="M10" i="1" s="1"/>
  <c r="R9" i="1"/>
  <c r="R8" i="1"/>
  <c r="R7" i="1"/>
  <c r="N11" i="1"/>
  <c r="N10" i="1"/>
  <c r="N9" i="1"/>
  <c r="N8" i="1"/>
  <c r="N7" i="1"/>
  <c r="M11" i="1"/>
  <c r="M9" i="1"/>
  <c r="M8" i="1"/>
  <c r="M7" i="1"/>
  <c r="L11" i="1"/>
  <c r="L10" i="1"/>
  <c r="L9" i="1"/>
  <c r="L8" i="1"/>
  <c r="L7" i="1"/>
  <c r="K11" i="1"/>
  <c r="K10" i="1"/>
  <c r="K9" i="1"/>
  <c r="K8" i="1"/>
  <c r="K7" i="1"/>
  <c r="J11" i="1"/>
  <c r="J10" i="1"/>
  <c r="J9" i="1"/>
  <c r="J8" i="1"/>
  <c r="J7" i="1"/>
  <c r="I11" i="1"/>
  <c r="I10" i="1"/>
  <c r="I9" i="1"/>
  <c r="I8" i="1"/>
  <c r="I7" i="1"/>
  <c r="H11" i="1"/>
  <c r="H10" i="1"/>
  <c r="H9" i="1"/>
  <c r="H8" i="1"/>
  <c r="H7" i="1"/>
  <c r="Q11" i="1"/>
  <c r="Q10" i="1"/>
  <c r="G10" i="1" s="1"/>
  <c r="Q9" i="1"/>
  <c r="Q8" i="1"/>
  <c r="Q16" i="1"/>
  <c r="Q15" i="1"/>
  <c r="Q14" i="1"/>
  <c r="Q13" i="1"/>
  <c r="Q12" i="1"/>
  <c r="Q7" i="1"/>
  <c r="G7" i="1"/>
  <c r="G11" i="1"/>
  <c r="G9" i="1"/>
  <c r="G8" i="1"/>
  <c r="D11" i="1"/>
  <c r="D10" i="1"/>
  <c r="D9" i="1"/>
  <c r="D8" i="1"/>
  <c r="C11" i="1"/>
  <c r="C10" i="1"/>
  <c r="C9" i="1"/>
  <c r="C8" i="1"/>
  <c r="B11" i="1"/>
  <c r="B10" i="1"/>
  <c r="B9" i="1"/>
  <c r="B8" i="1"/>
  <c r="A11" i="1"/>
  <c r="A10" i="1"/>
  <c r="A9" i="1"/>
  <c r="A8" i="1"/>
  <c r="A7" i="1"/>
  <c r="B7" i="1" s="1"/>
  <c r="O9" i="1"/>
  <c r="O10" i="1" s="1"/>
  <c r="O11" i="1" s="1"/>
  <c r="O8" i="1"/>
  <c r="N6" i="1"/>
  <c r="N5" i="1"/>
  <c r="N4" i="1"/>
  <c r="N3" i="1"/>
  <c r="N2" i="1"/>
  <c r="M6" i="1"/>
  <c r="M5" i="1"/>
  <c r="M4" i="1"/>
  <c r="M3" i="1"/>
  <c r="M2" i="1"/>
  <c r="L6" i="1"/>
  <c r="L5" i="1"/>
  <c r="L4" i="1"/>
  <c r="L3" i="1"/>
  <c r="L2" i="1"/>
  <c r="K6" i="1"/>
  <c r="K5" i="1"/>
  <c r="K4" i="1"/>
  <c r="K3" i="1"/>
  <c r="K2" i="1"/>
  <c r="J6" i="1"/>
  <c r="J5" i="1"/>
  <c r="J4" i="1"/>
  <c r="J3" i="1"/>
  <c r="J2" i="1"/>
  <c r="I6" i="1"/>
  <c r="I5" i="1"/>
  <c r="I4" i="1"/>
  <c r="I3" i="1"/>
  <c r="I2" i="1"/>
  <c r="H2" i="1"/>
  <c r="H6" i="1"/>
  <c r="H5" i="1"/>
  <c r="H4" i="1"/>
  <c r="H3" i="1"/>
  <c r="G6" i="1"/>
  <c r="G5" i="1"/>
  <c r="G4" i="1"/>
  <c r="G3" i="1"/>
  <c r="G2" i="1"/>
  <c r="D6" i="1"/>
  <c r="D5" i="1"/>
  <c r="D4" i="1"/>
  <c r="D3" i="1"/>
  <c r="D2" i="1"/>
  <c r="C6" i="1"/>
  <c r="C5" i="1"/>
  <c r="C4" i="1"/>
  <c r="C3" i="1"/>
  <c r="C2" i="1"/>
  <c r="R6" i="1"/>
  <c r="R5" i="1"/>
  <c r="R4" i="1"/>
  <c r="R3" i="1"/>
  <c r="Q6" i="1"/>
  <c r="Q5" i="1"/>
  <c r="Q4" i="1"/>
  <c r="Q3" i="1"/>
  <c r="B6" i="1"/>
  <c r="B5" i="1"/>
  <c r="B4" i="1"/>
  <c r="B3" i="1"/>
  <c r="B2" i="1"/>
  <c r="A6" i="1"/>
  <c r="A5" i="1"/>
  <c r="A4" i="1"/>
  <c r="O6" i="1"/>
  <c r="O5" i="1"/>
  <c r="O4" i="1"/>
  <c r="A3" i="1"/>
  <c r="O3" i="1"/>
  <c r="Q2" i="1"/>
  <c r="R2" i="1"/>
  <c r="O2" i="1"/>
  <c r="N21" i="1" l="1"/>
  <c r="J21" i="1"/>
  <c r="K21" i="1"/>
  <c r="G21" i="1"/>
  <c r="C21" i="1"/>
  <c r="B21" i="1"/>
  <c r="J20" i="1"/>
  <c r="N20" i="1"/>
  <c r="G20" i="1"/>
  <c r="B20" i="1"/>
  <c r="C20" i="1"/>
  <c r="K20" i="1"/>
  <c r="J19" i="1"/>
  <c r="N19" i="1"/>
  <c r="K19" i="1"/>
  <c r="C19" i="1"/>
  <c r="B19" i="1"/>
  <c r="N18" i="1"/>
  <c r="J18" i="1"/>
  <c r="G18" i="1"/>
  <c r="B18" i="1"/>
  <c r="C18" i="1"/>
  <c r="K18" i="1"/>
  <c r="J17" i="1"/>
  <c r="N17" i="1"/>
  <c r="G17" i="1"/>
  <c r="B17" i="1"/>
  <c r="C17" i="1"/>
  <c r="J16" i="1"/>
  <c r="G15" i="1"/>
  <c r="D7" i="1"/>
  <c r="C7" i="1"/>
  <c r="L21" i="1" l="1"/>
  <c r="H21" i="1"/>
  <c r="M21" i="1"/>
  <c r="I21" i="1"/>
  <c r="M20" i="1"/>
  <c r="I20" i="1"/>
  <c r="H20" i="1"/>
  <c r="L20" i="1"/>
  <c r="L19" i="1"/>
  <c r="H19" i="1"/>
  <c r="I19" i="1"/>
  <c r="M19" i="1"/>
  <c r="I18" i="1"/>
  <c r="M18" i="1"/>
  <c r="H18" i="1"/>
  <c r="L18" i="1"/>
  <c r="I17" i="1"/>
  <c r="M17" i="1"/>
  <c r="H17" i="1"/>
  <c r="L17" i="1"/>
</calcChain>
</file>

<file path=xl/sharedStrings.xml><?xml version="1.0" encoding="utf-8"?>
<sst xmlns="http://schemas.openxmlformats.org/spreadsheetml/2006/main" count="37" uniqueCount="31">
  <si>
    <t>protected_portion</t>
  </si>
  <si>
    <t>kink1</t>
  </si>
  <si>
    <t>kink2</t>
  </si>
  <si>
    <t>start_data</t>
  </si>
  <si>
    <t>dependants</t>
  </si>
  <si>
    <t>year</t>
  </si>
  <si>
    <t>protected_portion_2020_ei</t>
  </si>
  <si>
    <t>kink1_2020_ei</t>
  </si>
  <si>
    <t>kink2_2020_ei</t>
  </si>
  <si>
    <t>start_data_2020_ei</t>
  </si>
  <si>
    <t>protected_portion_2020_cpi</t>
  </si>
  <si>
    <t>kink1_2020_cpi</t>
  </si>
  <si>
    <t>kink2_2020_cpi</t>
  </si>
  <si>
    <t>start_data_2020_cpi</t>
  </si>
  <si>
    <t>day_portion_helper</t>
  </si>
  <si>
    <t>year_for_deflator</t>
  </si>
  <si>
    <t>deflator_to_2020_ei</t>
  </si>
  <si>
    <t>deflator_to_2020_cpi</t>
  </si>
  <si>
    <t>codebook</t>
  </si>
  <si>
    <t>yearfor_deflator</t>
  </si>
  <si>
    <t>year in which currency the values were measured</t>
  </si>
  <si>
    <t>var</t>
  </si>
  <si>
    <t>explanation</t>
  </si>
  <si>
    <t>consumer price index coefficient to go from this year to 2020</t>
  </si>
  <si>
    <t>earnings index (ansiotuloindeksi) index coefficient to go from this year to 2020</t>
  </si>
  <si>
    <t>https://pxdata.stat.fi/PxWeb/pxweb/fi/StatFin/StatFin__khi/statfin_khi_pxt_11xc.px/table/tableViewLayout1/</t>
  </si>
  <si>
    <t>change_from_prev</t>
  </si>
  <si>
    <t>change in protected portion from previous</t>
  </si>
  <si>
    <t>kink at 4*pp</t>
  </si>
  <si>
    <t>kink at 2*pp</t>
  </si>
  <si>
    <t>kink at where the data is censored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</si>
</sst>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BA730-20A2-CF49-92B4-57524EC5516C}">
  <dimension ref="A1:S21"/>
  <sheetViews>
    <sheetView tabSelected="1" workbookViewId="0">
      <selection activeCell="T12" sqref="T12"/>
    </sheetView>
  </sheetViews>
  <sheetFormatPr baseColWidth="10" defaultRowHeight="16" x14ac:dyDescent="0.2"/>
  <cols>
    <col min="2" max="2" width="10.83203125" style="1"/>
    <col min="3" max="3" width="10.83203125" style="2"/>
    <col min="4" max="4" width="10.83203125" style="3"/>
    <col min="8" max="8" width="10.83203125" style="1"/>
    <col min="9" max="9" width="10.83203125" style="2"/>
    <col min="10" max="10" width="10.83203125" style="3"/>
    <col min="12" max="12" width="10.83203125" style="1"/>
    <col min="13" max="13" width="10.83203125" style="2"/>
    <col min="14" max="14" width="10.83203125" style="3"/>
  </cols>
  <sheetData>
    <row r="1" spans="1:19" x14ac:dyDescent="0.2">
      <c r="A1" t="s">
        <v>0</v>
      </c>
      <c r="B1" s="1" t="s">
        <v>1</v>
      </c>
      <c r="C1" s="2" t="s">
        <v>2</v>
      </c>
      <c r="D1" s="3" t="s">
        <v>3</v>
      </c>
      <c r="E1" t="s">
        <v>4</v>
      </c>
      <c r="F1" t="s">
        <v>5</v>
      </c>
      <c r="G1" t="s">
        <v>6</v>
      </c>
      <c r="H1" s="1" t="s">
        <v>7</v>
      </c>
      <c r="I1" s="2" t="s">
        <v>8</v>
      </c>
      <c r="J1" s="3" t="s">
        <v>9</v>
      </c>
      <c r="K1" t="s">
        <v>10</v>
      </c>
      <c r="L1" s="1" t="s">
        <v>11</v>
      </c>
      <c r="M1" s="2" t="s">
        <v>12</v>
      </c>
      <c r="N1" s="3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26</v>
      </c>
    </row>
    <row r="2" spans="1:19" x14ac:dyDescent="0.2">
      <c r="A2">
        <v>922.5</v>
      </c>
      <c r="B2" s="1">
        <f>2*A2</f>
        <v>1845</v>
      </c>
      <c r="C2" s="2">
        <f>4*A2</f>
        <v>3690</v>
      </c>
      <c r="D2" s="3">
        <f>A2</f>
        <v>922.5</v>
      </c>
      <c r="E2">
        <v>0</v>
      </c>
      <c r="F2">
        <v>2023</v>
      </c>
      <c r="G2">
        <f>A2*Q2</f>
        <v>843.56679547336455</v>
      </c>
      <c r="H2" s="1">
        <f>B2*Q2</f>
        <v>1687.1335909467291</v>
      </c>
      <c r="I2" s="2">
        <f>C2*Q2</f>
        <v>3374.2671818934582</v>
      </c>
      <c r="J2" s="3">
        <f>D2*Q2</f>
        <v>843.56679547336455</v>
      </c>
      <c r="K2">
        <f>A2*R2</f>
        <v>793.13247260046501</v>
      </c>
      <c r="L2" s="1">
        <f>B2*R2</f>
        <v>1586.26494520093</v>
      </c>
      <c r="M2" s="2">
        <f>C2*R2</f>
        <v>3172.52989040186</v>
      </c>
      <c r="N2" s="3">
        <f>D2*R2</f>
        <v>793.13247260046501</v>
      </c>
      <c r="O2">
        <f>A2/30</f>
        <v>30.75</v>
      </c>
      <c r="P2">
        <v>2023</v>
      </c>
      <c r="Q2">
        <f>3313/3623</f>
        <v>0.91443555064863369</v>
      </c>
      <c r="R2">
        <f>10355/12044</f>
        <v>0.85976419794088343</v>
      </c>
      <c r="S2">
        <f>A2/A7</f>
        <v>1.3254310344827587</v>
      </c>
    </row>
    <row r="3" spans="1:19" x14ac:dyDescent="0.2">
      <c r="A3">
        <f>O3*30</f>
        <v>1192.2</v>
      </c>
      <c r="B3" s="1">
        <f>2*A3</f>
        <v>2384.4</v>
      </c>
      <c r="C3" s="2">
        <f t="shared" ref="C3:C16" si="0">4*A3</f>
        <v>4768.8</v>
      </c>
      <c r="D3" s="3">
        <f t="shared" ref="D3:D16" si="1">A3</f>
        <v>1192.2</v>
      </c>
      <c r="E3">
        <v>1</v>
      </c>
      <c r="F3">
        <v>2023</v>
      </c>
      <c r="G3">
        <f t="shared" ref="G3:G16" si="2">A3*Q3</f>
        <v>1090.1900634833012</v>
      </c>
      <c r="H3" s="1">
        <f t="shared" ref="H3:H11" si="3">B3*Q3</f>
        <v>2180.3801269666023</v>
      </c>
      <c r="I3" s="2">
        <f t="shared" ref="I3:I11" si="4">C3*Q3</f>
        <v>4360.7602539332047</v>
      </c>
      <c r="J3" s="3">
        <f t="shared" ref="J3:J11" si="5">D3*Q3</f>
        <v>1090.1900634833012</v>
      </c>
      <c r="K3">
        <f t="shared" ref="K3:K11" si="6">A3*R3</f>
        <v>1025.0108767851214</v>
      </c>
      <c r="L3" s="1">
        <f t="shared" ref="L3:L11" si="7">B3*R3</f>
        <v>2050.0217535702427</v>
      </c>
      <c r="M3" s="2">
        <f t="shared" ref="M3:M11" si="8">C3*R3</f>
        <v>4100.0435071404854</v>
      </c>
      <c r="N3" s="3">
        <f t="shared" ref="N3:N11" si="9">D3*R3</f>
        <v>1025.0108767851214</v>
      </c>
      <c r="O3">
        <f>O2+8.99</f>
        <v>39.74</v>
      </c>
      <c r="P3">
        <v>2023</v>
      </c>
      <c r="Q3">
        <f>3313/3623</f>
        <v>0.91443555064863369</v>
      </c>
      <c r="R3">
        <f t="shared" ref="R3:R7" si="10">10355/12044</f>
        <v>0.85976419794088343</v>
      </c>
      <c r="S3">
        <f t="shared" ref="S3:S6" si="11">A3/A8</f>
        <v>1.2599873176918202</v>
      </c>
    </row>
    <row r="4" spans="1:19" x14ac:dyDescent="0.2">
      <c r="A4">
        <f>O4*30</f>
        <v>1461.9</v>
      </c>
      <c r="B4" s="1">
        <f>2*A4</f>
        <v>2923.8</v>
      </c>
      <c r="C4" s="2">
        <f t="shared" si="0"/>
        <v>5847.6</v>
      </c>
      <c r="D4" s="3">
        <f t="shared" si="1"/>
        <v>1461.9</v>
      </c>
      <c r="E4">
        <v>2</v>
      </c>
      <c r="F4">
        <v>2023</v>
      </c>
      <c r="G4">
        <f t="shared" si="2"/>
        <v>1336.8133314932377</v>
      </c>
      <c r="H4" s="1">
        <f t="shared" si="3"/>
        <v>2673.6266629864754</v>
      </c>
      <c r="I4" s="2">
        <f t="shared" si="4"/>
        <v>5347.2533259729507</v>
      </c>
      <c r="J4" s="3">
        <f t="shared" si="5"/>
        <v>1336.8133314932377</v>
      </c>
      <c r="K4">
        <f t="shared" si="6"/>
        <v>1256.8892809697775</v>
      </c>
      <c r="L4" s="1">
        <f t="shared" si="7"/>
        <v>2513.7785619395549</v>
      </c>
      <c r="M4" s="2">
        <f t="shared" si="8"/>
        <v>5027.5571238791099</v>
      </c>
      <c r="N4" s="3">
        <f t="shared" si="9"/>
        <v>1256.8892809697775</v>
      </c>
      <c r="O4">
        <f>O3+8.99</f>
        <v>48.730000000000004</v>
      </c>
      <c r="P4">
        <v>2023</v>
      </c>
      <c r="Q4">
        <f>3313/3623</f>
        <v>0.91443555064863369</v>
      </c>
      <c r="R4">
        <f t="shared" si="10"/>
        <v>0.85976419794088343</v>
      </c>
      <c r="S4">
        <f t="shared" si="11"/>
        <v>1.2219157472417255</v>
      </c>
    </row>
    <row r="5" spans="1:19" x14ac:dyDescent="0.2">
      <c r="A5">
        <f>O5*30</f>
        <v>1731.6000000000001</v>
      </c>
      <c r="B5" s="1">
        <f>2*A5</f>
        <v>3463.2000000000003</v>
      </c>
      <c r="C5" s="2">
        <f t="shared" si="0"/>
        <v>6926.4000000000005</v>
      </c>
      <c r="D5" s="3">
        <f t="shared" si="1"/>
        <v>1731.6000000000001</v>
      </c>
      <c r="E5">
        <v>3</v>
      </c>
      <c r="F5">
        <v>2023</v>
      </c>
      <c r="G5">
        <f t="shared" si="2"/>
        <v>1583.4365995031742</v>
      </c>
      <c r="H5" s="1">
        <f t="shared" si="3"/>
        <v>3166.8731990063484</v>
      </c>
      <c r="I5" s="2">
        <f t="shared" si="4"/>
        <v>6333.7463980126968</v>
      </c>
      <c r="J5" s="3">
        <f t="shared" si="5"/>
        <v>1583.4365995031742</v>
      </c>
      <c r="K5">
        <f t="shared" si="6"/>
        <v>1488.7676851544338</v>
      </c>
      <c r="L5" s="1">
        <f t="shared" si="7"/>
        <v>2977.5353703088676</v>
      </c>
      <c r="M5" s="2">
        <f t="shared" si="8"/>
        <v>5955.0707406177353</v>
      </c>
      <c r="N5" s="3">
        <f t="shared" si="9"/>
        <v>1488.7676851544338</v>
      </c>
      <c r="O5">
        <f>O4+8.99</f>
        <v>57.720000000000006</v>
      </c>
      <c r="P5">
        <v>2023</v>
      </c>
      <c r="Q5">
        <f>3313/3623</f>
        <v>0.91443555064863369</v>
      </c>
      <c r="R5">
        <f t="shared" si="10"/>
        <v>0.85976419794088343</v>
      </c>
      <c r="S5">
        <f t="shared" si="11"/>
        <v>1.1970136872666945</v>
      </c>
    </row>
    <row r="6" spans="1:19" x14ac:dyDescent="0.2">
      <c r="A6">
        <f>O6*30</f>
        <v>2001.3000000000002</v>
      </c>
      <c r="B6" s="1">
        <f>2*A6</f>
        <v>4002.6000000000004</v>
      </c>
      <c r="C6" s="2">
        <f t="shared" si="0"/>
        <v>8005.2000000000007</v>
      </c>
      <c r="D6" s="3">
        <f t="shared" si="1"/>
        <v>2001.3000000000002</v>
      </c>
      <c r="E6">
        <v>4</v>
      </c>
      <c r="F6">
        <v>2023</v>
      </c>
      <c r="G6">
        <f t="shared" si="2"/>
        <v>1830.0598675131107</v>
      </c>
      <c r="H6" s="1">
        <f t="shared" si="3"/>
        <v>3660.1197350262214</v>
      </c>
      <c r="I6" s="2">
        <f t="shared" si="4"/>
        <v>7320.2394700524428</v>
      </c>
      <c r="J6" s="3">
        <f t="shared" si="5"/>
        <v>1830.0598675131107</v>
      </c>
      <c r="K6">
        <f t="shared" si="6"/>
        <v>1720.6460893390902</v>
      </c>
      <c r="L6" s="1">
        <f t="shared" si="7"/>
        <v>3441.2921786781803</v>
      </c>
      <c r="M6" s="2">
        <f t="shared" si="8"/>
        <v>6882.5843573563607</v>
      </c>
      <c r="N6" s="3">
        <f t="shared" si="9"/>
        <v>1720.6460893390902</v>
      </c>
      <c r="O6">
        <f>O5+8.99</f>
        <v>66.710000000000008</v>
      </c>
      <c r="P6">
        <v>2023</v>
      </c>
      <c r="Q6">
        <f>3313/3623</f>
        <v>0.91443555064863369</v>
      </c>
      <c r="R6">
        <f t="shared" si="10"/>
        <v>0.85976419794088343</v>
      </c>
      <c r="S6">
        <f t="shared" si="11"/>
        <v>1.1794554455445545</v>
      </c>
    </row>
    <row r="7" spans="1:19" x14ac:dyDescent="0.2">
      <c r="A7">
        <f>O7*30</f>
        <v>696</v>
      </c>
      <c r="B7" s="1">
        <f>2*A7</f>
        <v>1392</v>
      </c>
      <c r="C7" s="2">
        <f t="shared" si="0"/>
        <v>2784</v>
      </c>
      <c r="D7" s="3">
        <f t="shared" si="1"/>
        <v>696</v>
      </c>
      <c r="E7">
        <v>0</v>
      </c>
      <c r="F7">
        <v>2022</v>
      </c>
      <c r="G7">
        <f>A7*Q7</f>
        <v>663.55338129496408</v>
      </c>
      <c r="H7" s="1">
        <f t="shared" si="3"/>
        <v>1327.1067625899282</v>
      </c>
      <c r="I7" s="2">
        <f t="shared" si="4"/>
        <v>2654.2135251798563</v>
      </c>
      <c r="J7" s="3">
        <f t="shared" si="5"/>
        <v>663.55338129496408</v>
      </c>
      <c r="K7">
        <f t="shared" si="6"/>
        <v>635.76923076923072</v>
      </c>
      <c r="L7" s="1">
        <f t="shared" si="7"/>
        <v>1271.5384615384614</v>
      </c>
      <c r="M7" s="2">
        <f t="shared" si="8"/>
        <v>2543.0769230769229</v>
      </c>
      <c r="N7" s="3">
        <f t="shared" si="9"/>
        <v>635.76923076923072</v>
      </c>
      <c r="O7">
        <v>23.2</v>
      </c>
      <c r="P7">
        <v>2022</v>
      </c>
      <c r="Q7">
        <f>3313/3475</f>
        <v>0.95338129496402879</v>
      </c>
      <c r="R7">
        <f>10355/11336</f>
        <v>0.91346153846153844</v>
      </c>
      <c r="S7">
        <f>A7/A12</f>
        <v>1.0215763980625274</v>
      </c>
    </row>
    <row r="8" spans="1:19" x14ac:dyDescent="0.2">
      <c r="A8">
        <f t="shared" ref="A8:A11" si="12">O8*30</f>
        <v>946.19999999999993</v>
      </c>
      <c r="B8" s="1">
        <f>2*A8</f>
        <v>1892.3999999999999</v>
      </c>
      <c r="C8" s="2">
        <f t="shared" si="0"/>
        <v>3784.7999999999997</v>
      </c>
      <c r="D8" s="3">
        <f t="shared" si="1"/>
        <v>946.19999999999993</v>
      </c>
      <c r="E8">
        <v>1</v>
      </c>
      <c r="F8">
        <v>2022</v>
      </c>
      <c r="G8">
        <f t="shared" si="2"/>
        <v>902.08938129496403</v>
      </c>
      <c r="H8" s="1">
        <f t="shared" si="3"/>
        <v>1804.1787625899281</v>
      </c>
      <c r="I8" s="2">
        <f t="shared" si="4"/>
        <v>3608.3575251798561</v>
      </c>
      <c r="J8" s="3">
        <f t="shared" si="5"/>
        <v>902.08938129496403</v>
      </c>
      <c r="K8">
        <f t="shared" si="6"/>
        <v>864.31730769230762</v>
      </c>
      <c r="L8" s="1">
        <f t="shared" si="7"/>
        <v>1728.6346153846152</v>
      </c>
      <c r="M8" s="2">
        <f t="shared" si="8"/>
        <v>3457.2692307692305</v>
      </c>
      <c r="N8" s="3">
        <f t="shared" si="9"/>
        <v>864.31730769230762</v>
      </c>
      <c r="O8">
        <f>O7+8.34</f>
        <v>31.54</v>
      </c>
      <c r="P8">
        <v>2022</v>
      </c>
      <c r="Q8">
        <f t="shared" ref="Q8:Q11" si="13">3313/3475</f>
        <v>0.95338129496402879</v>
      </c>
      <c r="R8">
        <f>10355/11336</f>
        <v>0.91346153846153844</v>
      </c>
      <c r="S8">
        <f>A8/A13</f>
        <v>1.0220349967595592</v>
      </c>
    </row>
    <row r="9" spans="1:19" x14ac:dyDescent="0.2">
      <c r="A9">
        <f t="shared" si="12"/>
        <v>1196.3999999999999</v>
      </c>
      <c r="B9" s="1">
        <f t="shared" ref="B9:B21" si="14">2*A9</f>
        <v>2392.7999999999997</v>
      </c>
      <c r="C9" s="2">
        <f t="shared" si="0"/>
        <v>4785.5999999999995</v>
      </c>
      <c r="D9" s="3">
        <f t="shared" si="1"/>
        <v>1196.3999999999999</v>
      </c>
      <c r="E9">
        <v>2</v>
      </c>
      <c r="F9">
        <v>2022</v>
      </c>
      <c r="G9">
        <f t="shared" si="2"/>
        <v>1140.625381294964</v>
      </c>
      <c r="H9" s="1">
        <f t="shared" si="3"/>
        <v>2281.2507625899279</v>
      </c>
      <c r="I9" s="2">
        <f t="shared" si="4"/>
        <v>4562.5015251798559</v>
      </c>
      <c r="J9" s="3">
        <f t="shared" si="5"/>
        <v>1140.625381294964</v>
      </c>
      <c r="K9">
        <f t="shared" si="6"/>
        <v>1092.8653846153845</v>
      </c>
      <c r="L9" s="1">
        <f t="shared" si="7"/>
        <v>2185.7307692307691</v>
      </c>
      <c r="M9" s="2">
        <f t="shared" si="8"/>
        <v>4371.4615384615381</v>
      </c>
      <c r="N9" s="3">
        <f t="shared" si="9"/>
        <v>1092.8653846153845</v>
      </c>
      <c r="O9">
        <f t="shared" ref="O9:O11" si="15">O8+8.34</f>
        <v>39.879999999999995</v>
      </c>
      <c r="P9">
        <v>2022</v>
      </c>
      <c r="Q9">
        <f t="shared" si="13"/>
        <v>0.95338129496402879</v>
      </c>
      <c r="R9">
        <f>10355/11336</f>
        <v>0.91346153846153844</v>
      </c>
      <c r="S9">
        <f>A9/A14</f>
        <v>1.0223019738528583</v>
      </c>
    </row>
    <row r="10" spans="1:19" x14ac:dyDescent="0.2">
      <c r="A10">
        <f t="shared" si="12"/>
        <v>1446.6</v>
      </c>
      <c r="B10" s="1">
        <f t="shared" si="14"/>
        <v>2893.2</v>
      </c>
      <c r="C10" s="2">
        <f t="shared" si="0"/>
        <v>5786.4</v>
      </c>
      <c r="D10" s="3">
        <f t="shared" si="1"/>
        <v>1446.6</v>
      </c>
      <c r="E10">
        <v>3</v>
      </c>
      <c r="F10">
        <v>2022</v>
      </c>
      <c r="G10">
        <f t="shared" si="2"/>
        <v>1379.161381294964</v>
      </c>
      <c r="H10" s="1">
        <f t="shared" si="3"/>
        <v>2758.3227625899281</v>
      </c>
      <c r="I10" s="2">
        <f t="shared" si="4"/>
        <v>5516.6455251798561</v>
      </c>
      <c r="J10" s="3">
        <f t="shared" si="5"/>
        <v>1379.161381294964</v>
      </c>
      <c r="K10">
        <f t="shared" si="6"/>
        <v>1321.4134615384614</v>
      </c>
      <c r="L10" s="1">
        <f t="shared" si="7"/>
        <v>2642.8269230769229</v>
      </c>
      <c r="M10" s="2">
        <f t="shared" si="8"/>
        <v>5285.6538461538457</v>
      </c>
      <c r="N10" s="3">
        <f t="shared" si="9"/>
        <v>1321.4134615384614</v>
      </c>
      <c r="O10">
        <f t="shared" si="15"/>
        <v>48.22</v>
      </c>
      <c r="P10">
        <v>2022</v>
      </c>
      <c r="Q10">
        <f t="shared" si="13"/>
        <v>0.95338129496402879</v>
      </c>
      <c r="R10">
        <f>10355/11336</f>
        <v>0.91346153846153844</v>
      </c>
      <c r="S10">
        <f>A10/A15</f>
        <v>1.0224766751484309</v>
      </c>
    </row>
    <row r="11" spans="1:19" x14ac:dyDescent="0.2">
      <c r="A11">
        <f t="shared" si="12"/>
        <v>1696.8000000000002</v>
      </c>
      <c r="B11" s="1">
        <f t="shared" si="14"/>
        <v>3393.6000000000004</v>
      </c>
      <c r="C11" s="2">
        <f t="shared" si="0"/>
        <v>6787.2000000000007</v>
      </c>
      <c r="D11" s="3">
        <f t="shared" si="1"/>
        <v>1696.8000000000002</v>
      </c>
      <c r="E11">
        <v>4</v>
      </c>
      <c r="F11">
        <v>2022</v>
      </c>
      <c r="G11">
        <f t="shared" si="2"/>
        <v>1617.6973812949643</v>
      </c>
      <c r="H11" s="1">
        <f t="shared" si="3"/>
        <v>3235.3947625899286</v>
      </c>
      <c r="I11" s="2">
        <f t="shared" si="4"/>
        <v>6470.7895251798573</v>
      </c>
      <c r="J11" s="3">
        <f t="shared" si="5"/>
        <v>1617.6973812949643</v>
      </c>
      <c r="K11">
        <f t="shared" si="6"/>
        <v>1549.9615384615386</v>
      </c>
      <c r="L11" s="1">
        <f t="shared" si="7"/>
        <v>3099.9230769230771</v>
      </c>
      <c r="M11" s="2">
        <f t="shared" si="8"/>
        <v>6199.8461538461543</v>
      </c>
      <c r="N11" s="3">
        <f t="shared" si="9"/>
        <v>1549.9615384615386</v>
      </c>
      <c r="O11">
        <f t="shared" si="15"/>
        <v>56.56</v>
      </c>
      <c r="P11">
        <v>2022</v>
      </c>
      <c r="Q11">
        <f t="shared" si="13"/>
        <v>0.95338129496402879</v>
      </c>
      <c r="R11">
        <f>10355/11336</f>
        <v>0.91346153846153844</v>
      </c>
      <c r="S11">
        <f>A11/A16</f>
        <v>1.0225998915205208</v>
      </c>
    </row>
    <row r="12" spans="1:19" x14ac:dyDescent="0.2">
      <c r="A12">
        <f>O12*30</f>
        <v>681.30000000000007</v>
      </c>
      <c r="B12" s="1">
        <f t="shared" si="14"/>
        <v>1362.6000000000001</v>
      </c>
      <c r="C12" s="2">
        <f t="shared" si="0"/>
        <v>2725.2000000000003</v>
      </c>
      <c r="D12" s="3">
        <f t="shared" si="1"/>
        <v>681.30000000000007</v>
      </c>
      <c r="E12">
        <v>0</v>
      </c>
      <c r="F12">
        <v>2021</v>
      </c>
      <c r="G12">
        <f t="shared" si="2"/>
        <v>665.23633952254647</v>
      </c>
      <c r="H12" s="1">
        <f t="shared" ref="H12:H16" si="16">B12*Q12</f>
        <v>1330.4726790450929</v>
      </c>
      <c r="I12" s="2">
        <f t="shared" ref="I12:I16" si="17">C12*Q12</f>
        <v>2660.9453580901859</v>
      </c>
      <c r="J12" s="3">
        <f t="shared" ref="J12:J16" si="18">D12*Q12</f>
        <v>665.23633952254647</v>
      </c>
      <c r="K12">
        <f t="shared" ref="K12:K16" si="19">A12*R12</f>
        <v>666.68507843507848</v>
      </c>
      <c r="L12" s="1">
        <f t="shared" ref="L12:L16" si="20">B12*R12</f>
        <v>1333.370156870157</v>
      </c>
      <c r="M12" s="2">
        <f t="shared" ref="M12:M16" si="21">C12*R12</f>
        <v>2666.7403137403139</v>
      </c>
      <c r="N12" s="3">
        <f t="shared" ref="N12:N16" si="22">D12*R12</f>
        <v>666.68507843507848</v>
      </c>
      <c r="O12">
        <v>22.71</v>
      </c>
      <c r="P12">
        <v>2021</v>
      </c>
      <c r="Q12">
        <f>3313/3393</f>
        <v>0.97642204538756261</v>
      </c>
      <c r="R12">
        <f>10355/10582</f>
        <v>0.9785484785484786</v>
      </c>
      <c r="S12">
        <f>A12/A17</f>
        <v>1.0035351303579321</v>
      </c>
    </row>
    <row r="13" spans="1:19" x14ac:dyDescent="0.2">
      <c r="A13">
        <f t="shared" ref="A13:A16" si="23">O13*30</f>
        <v>925.8</v>
      </c>
      <c r="B13" s="1">
        <f t="shared" si="14"/>
        <v>1851.6</v>
      </c>
      <c r="C13" s="2">
        <f t="shared" si="0"/>
        <v>3703.2</v>
      </c>
      <c r="D13" s="3">
        <f t="shared" si="1"/>
        <v>925.8</v>
      </c>
      <c r="E13">
        <v>1</v>
      </c>
      <c r="F13">
        <v>2021</v>
      </c>
      <c r="G13">
        <f t="shared" si="2"/>
        <v>903.97152961980544</v>
      </c>
      <c r="H13" s="1">
        <f t="shared" si="16"/>
        <v>1807.9430592396109</v>
      </c>
      <c r="I13" s="2">
        <f t="shared" si="17"/>
        <v>3615.8861184792218</v>
      </c>
      <c r="J13" s="3">
        <f t="shared" si="18"/>
        <v>903.97152961980544</v>
      </c>
      <c r="K13">
        <f t="shared" si="19"/>
        <v>905.94018144018139</v>
      </c>
      <c r="L13" s="1">
        <f t="shared" si="20"/>
        <v>1811.8803628803628</v>
      </c>
      <c r="M13" s="2">
        <f t="shared" si="21"/>
        <v>3623.7607257607256</v>
      </c>
      <c r="N13" s="3">
        <f t="shared" si="22"/>
        <v>905.94018144018139</v>
      </c>
      <c r="O13">
        <f>O12+8.15</f>
        <v>30.86</v>
      </c>
      <c r="P13">
        <v>2021</v>
      </c>
      <c r="Q13">
        <f t="shared" ref="Q13:Q16" si="24">3313/3393</f>
        <v>0.97642204538756261</v>
      </c>
      <c r="R13">
        <f t="shared" ref="R13:R16" si="25">10355/10582</f>
        <v>0.9785484785484786</v>
      </c>
      <c r="S13">
        <f>A13/A18</f>
        <v>1.0035772357723576</v>
      </c>
    </row>
    <row r="14" spans="1:19" x14ac:dyDescent="0.2">
      <c r="A14">
        <f t="shared" si="23"/>
        <v>1170.3</v>
      </c>
      <c r="B14" s="1">
        <f t="shared" si="14"/>
        <v>2340.6</v>
      </c>
      <c r="C14" s="2">
        <f t="shared" si="0"/>
        <v>4681.2</v>
      </c>
      <c r="D14" s="3">
        <f t="shared" si="1"/>
        <v>1170.3</v>
      </c>
      <c r="E14">
        <v>2</v>
      </c>
      <c r="F14">
        <v>2021</v>
      </c>
      <c r="G14">
        <f t="shared" si="2"/>
        <v>1142.7067197170645</v>
      </c>
      <c r="H14" s="1">
        <f t="shared" si="16"/>
        <v>2285.413439434129</v>
      </c>
      <c r="I14" s="2">
        <f t="shared" si="17"/>
        <v>4570.8268788682581</v>
      </c>
      <c r="J14" s="3">
        <f t="shared" si="18"/>
        <v>1142.7067197170645</v>
      </c>
      <c r="K14">
        <f t="shared" si="19"/>
        <v>1145.1952844452844</v>
      </c>
      <c r="L14" s="1">
        <f t="shared" si="20"/>
        <v>2290.3905688905688</v>
      </c>
      <c r="M14" s="2">
        <f t="shared" si="21"/>
        <v>4580.7811377811377</v>
      </c>
      <c r="N14" s="3">
        <f t="shared" si="22"/>
        <v>1145.1952844452844</v>
      </c>
      <c r="O14">
        <f>O13+8.15</f>
        <v>39.01</v>
      </c>
      <c r="P14">
        <v>2021</v>
      </c>
      <c r="Q14">
        <f t="shared" si="24"/>
        <v>0.97642204538756261</v>
      </c>
      <c r="R14">
        <f t="shared" si="25"/>
        <v>0.9785484785484786</v>
      </c>
      <c r="S14">
        <f t="shared" ref="S14:S21" si="26">A14/A19</f>
        <v>1.0036017494211475</v>
      </c>
    </row>
    <row r="15" spans="1:19" x14ac:dyDescent="0.2">
      <c r="A15">
        <f t="shared" si="23"/>
        <v>1414.8</v>
      </c>
      <c r="B15" s="1">
        <f t="shared" si="14"/>
        <v>2829.6</v>
      </c>
      <c r="C15" s="2">
        <f t="shared" si="0"/>
        <v>5659.2</v>
      </c>
      <c r="D15" s="3">
        <f t="shared" si="1"/>
        <v>1414.8</v>
      </c>
      <c r="E15">
        <v>3</v>
      </c>
      <c r="F15">
        <v>2021</v>
      </c>
      <c r="G15">
        <f t="shared" si="2"/>
        <v>1381.4419098143235</v>
      </c>
      <c r="H15" s="1">
        <f t="shared" si="16"/>
        <v>2762.883819628647</v>
      </c>
      <c r="I15" s="2">
        <f t="shared" si="17"/>
        <v>5525.7676392572939</v>
      </c>
      <c r="J15" s="3">
        <f t="shared" si="18"/>
        <v>1381.4419098143235</v>
      </c>
      <c r="K15">
        <f t="shared" si="19"/>
        <v>1384.4503874503876</v>
      </c>
      <c r="L15" s="1">
        <f t="shared" si="20"/>
        <v>2768.9007749007751</v>
      </c>
      <c r="M15" s="2">
        <f t="shared" si="21"/>
        <v>5537.8015498015502</v>
      </c>
      <c r="N15" s="3">
        <f t="shared" si="22"/>
        <v>1384.4503874503876</v>
      </c>
      <c r="O15">
        <f>O14+8.15</f>
        <v>47.16</v>
      </c>
      <c r="P15">
        <v>2021</v>
      </c>
      <c r="Q15">
        <f t="shared" si="24"/>
        <v>0.97642204538756261</v>
      </c>
      <c r="R15">
        <f t="shared" si="25"/>
        <v>0.9785484785484786</v>
      </c>
      <c r="S15">
        <f t="shared" si="26"/>
        <v>1.003617791019366</v>
      </c>
    </row>
    <row r="16" spans="1:19" x14ac:dyDescent="0.2">
      <c r="A16">
        <f t="shared" si="23"/>
        <v>1659.3</v>
      </c>
      <c r="B16" s="1">
        <f t="shared" si="14"/>
        <v>3318.6</v>
      </c>
      <c r="C16" s="2">
        <f t="shared" si="0"/>
        <v>6637.2</v>
      </c>
      <c r="D16" s="3">
        <f t="shared" si="1"/>
        <v>1659.3</v>
      </c>
      <c r="E16">
        <v>4</v>
      </c>
      <c r="F16">
        <v>2021</v>
      </c>
      <c r="G16">
        <f>A16*Q16</f>
        <v>1620.1770999115827</v>
      </c>
      <c r="H16" s="1">
        <f t="shared" si="16"/>
        <v>3240.3541998231653</v>
      </c>
      <c r="I16" s="2">
        <f t="shared" si="17"/>
        <v>6480.7083996463307</v>
      </c>
      <c r="J16" s="3">
        <f t="shared" si="18"/>
        <v>1620.1770999115827</v>
      </c>
      <c r="K16">
        <f t="shared" si="19"/>
        <v>1623.7054904554905</v>
      </c>
      <c r="L16" s="1">
        <f t="shared" si="20"/>
        <v>3247.4109809109809</v>
      </c>
      <c r="M16" s="2">
        <f t="shared" si="21"/>
        <v>6494.8219618219618</v>
      </c>
      <c r="N16" s="3">
        <f t="shared" si="22"/>
        <v>1623.7054904554905</v>
      </c>
      <c r="O16">
        <f>O15+8.15</f>
        <v>55.309999999999995</v>
      </c>
      <c r="P16">
        <v>2021</v>
      </c>
      <c r="Q16">
        <f t="shared" si="24"/>
        <v>0.97642204538756261</v>
      </c>
      <c r="R16">
        <f t="shared" si="25"/>
        <v>0.9785484785484786</v>
      </c>
      <c r="S16">
        <f t="shared" si="26"/>
        <v>1.0036291054255126</v>
      </c>
    </row>
    <row r="17" spans="1:18" x14ac:dyDescent="0.2">
      <c r="A17">
        <f t="shared" ref="A17:A21" si="27">O17*30</f>
        <v>678.9</v>
      </c>
      <c r="B17" s="1">
        <f t="shared" si="14"/>
        <v>1357.8</v>
      </c>
      <c r="C17" s="2">
        <f t="shared" ref="C17:C21" si="28">4*A17</f>
        <v>2715.6</v>
      </c>
      <c r="D17" s="3">
        <f t="shared" ref="D17:D21" si="29">A17</f>
        <v>678.9</v>
      </c>
      <c r="E17">
        <v>0</v>
      </c>
      <c r="F17">
        <v>2020</v>
      </c>
      <c r="G17">
        <f>A17*Q17</f>
        <v>678.9</v>
      </c>
      <c r="H17" s="1">
        <f t="shared" ref="H17:H21" si="30">B17*Q17</f>
        <v>1357.8</v>
      </c>
      <c r="I17" s="2">
        <f t="shared" ref="I17:I21" si="31">C17*Q17</f>
        <v>2715.6</v>
      </c>
      <c r="J17" s="3">
        <f t="shared" ref="J17:J21" si="32">D17*Q17</f>
        <v>678.9</v>
      </c>
      <c r="K17">
        <f t="shared" ref="K17:K21" si="33">A17*R17</f>
        <v>678.9</v>
      </c>
      <c r="L17" s="1">
        <f t="shared" ref="L17:L21" si="34">B17*R17</f>
        <v>1357.8</v>
      </c>
      <c r="M17" s="2">
        <f t="shared" ref="M17:M21" si="35">C17*R17</f>
        <v>2715.6</v>
      </c>
      <c r="N17" s="3">
        <f t="shared" ref="N17:N21" si="36">D17*R17</f>
        <v>678.9</v>
      </c>
      <c r="O17">
        <v>22.63</v>
      </c>
      <c r="P17">
        <v>2020</v>
      </c>
      <c r="Q17">
        <v>1</v>
      </c>
      <c r="R17">
        <v>1</v>
      </c>
    </row>
    <row r="18" spans="1:18" x14ac:dyDescent="0.2">
      <c r="A18">
        <f t="shared" si="27"/>
        <v>922.5</v>
      </c>
      <c r="B18" s="1">
        <f t="shared" si="14"/>
        <v>1845</v>
      </c>
      <c r="C18" s="2">
        <f t="shared" si="28"/>
        <v>3690</v>
      </c>
      <c r="D18" s="3">
        <f t="shared" si="29"/>
        <v>922.5</v>
      </c>
      <c r="E18">
        <v>1</v>
      </c>
      <c r="F18">
        <v>2020</v>
      </c>
      <c r="G18">
        <f>A18*Q18</f>
        <v>922.5</v>
      </c>
      <c r="H18" s="1">
        <f t="shared" si="30"/>
        <v>1845</v>
      </c>
      <c r="I18" s="2">
        <f t="shared" si="31"/>
        <v>3690</v>
      </c>
      <c r="J18" s="3">
        <f t="shared" si="32"/>
        <v>922.5</v>
      </c>
      <c r="K18">
        <f t="shared" si="33"/>
        <v>922.5</v>
      </c>
      <c r="L18" s="1">
        <f t="shared" si="34"/>
        <v>1845</v>
      </c>
      <c r="M18" s="2">
        <f t="shared" si="35"/>
        <v>3690</v>
      </c>
      <c r="N18" s="3">
        <f t="shared" si="36"/>
        <v>922.5</v>
      </c>
      <c r="O18">
        <f>O17+8.12</f>
        <v>30.75</v>
      </c>
      <c r="P18">
        <v>2020</v>
      </c>
      <c r="Q18">
        <v>1</v>
      </c>
      <c r="R18">
        <v>1</v>
      </c>
    </row>
    <row r="19" spans="1:18" x14ac:dyDescent="0.2">
      <c r="A19">
        <f t="shared" si="27"/>
        <v>1166.0999999999999</v>
      </c>
      <c r="B19" s="1">
        <f t="shared" si="14"/>
        <v>2332.1999999999998</v>
      </c>
      <c r="C19" s="2">
        <f t="shared" si="28"/>
        <v>4664.3999999999996</v>
      </c>
      <c r="D19" s="3">
        <f t="shared" si="29"/>
        <v>1166.0999999999999</v>
      </c>
      <c r="E19">
        <v>2</v>
      </c>
      <c r="F19">
        <v>2020</v>
      </c>
      <c r="G19">
        <f>A19*Q19</f>
        <v>1166.0999999999999</v>
      </c>
      <c r="H19" s="1">
        <f t="shared" si="30"/>
        <v>2332.1999999999998</v>
      </c>
      <c r="I19" s="2">
        <f t="shared" si="31"/>
        <v>4664.3999999999996</v>
      </c>
      <c r="J19" s="3">
        <f t="shared" si="32"/>
        <v>1166.0999999999999</v>
      </c>
      <c r="K19">
        <f t="shared" si="33"/>
        <v>1166.0999999999999</v>
      </c>
      <c r="L19" s="1">
        <f t="shared" si="34"/>
        <v>2332.1999999999998</v>
      </c>
      <c r="M19" s="2">
        <f t="shared" si="35"/>
        <v>4664.3999999999996</v>
      </c>
      <c r="N19" s="3">
        <f t="shared" si="36"/>
        <v>1166.0999999999999</v>
      </c>
      <c r="O19">
        <f t="shared" ref="O19:O21" si="37">O18+8.12</f>
        <v>38.869999999999997</v>
      </c>
      <c r="P19">
        <v>2020</v>
      </c>
      <c r="Q19">
        <v>1</v>
      </c>
      <c r="R19">
        <v>1</v>
      </c>
    </row>
    <row r="20" spans="1:18" x14ac:dyDescent="0.2">
      <c r="A20">
        <f t="shared" si="27"/>
        <v>1409.6999999999998</v>
      </c>
      <c r="B20" s="1">
        <f t="shared" si="14"/>
        <v>2819.3999999999996</v>
      </c>
      <c r="C20" s="2">
        <f t="shared" si="28"/>
        <v>5638.7999999999993</v>
      </c>
      <c r="D20" s="3">
        <f t="shared" si="29"/>
        <v>1409.6999999999998</v>
      </c>
      <c r="E20">
        <v>3</v>
      </c>
      <c r="F20">
        <v>2020</v>
      </c>
      <c r="G20">
        <f>A20*Q20</f>
        <v>1409.6999999999998</v>
      </c>
      <c r="H20" s="1">
        <f t="shared" si="30"/>
        <v>2819.3999999999996</v>
      </c>
      <c r="I20" s="2">
        <f t="shared" si="31"/>
        <v>5638.7999999999993</v>
      </c>
      <c r="J20" s="3">
        <f t="shared" si="32"/>
        <v>1409.6999999999998</v>
      </c>
      <c r="K20">
        <f t="shared" si="33"/>
        <v>1409.6999999999998</v>
      </c>
      <c r="L20" s="1">
        <f t="shared" si="34"/>
        <v>2819.3999999999996</v>
      </c>
      <c r="M20" s="2">
        <f t="shared" si="35"/>
        <v>5638.7999999999993</v>
      </c>
      <c r="N20" s="3">
        <f t="shared" si="36"/>
        <v>1409.6999999999998</v>
      </c>
      <c r="O20">
        <f t="shared" si="37"/>
        <v>46.989999999999995</v>
      </c>
      <c r="P20">
        <v>2020</v>
      </c>
      <c r="Q20">
        <v>1</v>
      </c>
      <c r="R20">
        <v>1</v>
      </c>
    </row>
    <row r="21" spans="1:18" x14ac:dyDescent="0.2">
      <c r="A21">
        <f t="shared" si="27"/>
        <v>1653.2999999999997</v>
      </c>
      <c r="B21" s="1">
        <f t="shared" si="14"/>
        <v>3306.5999999999995</v>
      </c>
      <c r="C21" s="2">
        <f t="shared" si="28"/>
        <v>6613.1999999999989</v>
      </c>
      <c r="D21" s="3">
        <f t="shared" si="29"/>
        <v>1653.2999999999997</v>
      </c>
      <c r="E21">
        <v>4</v>
      </c>
      <c r="F21">
        <v>2020</v>
      </c>
      <c r="G21">
        <f>A21*Q21</f>
        <v>1653.2999999999997</v>
      </c>
      <c r="H21" s="1">
        <f t="shared" si="30"/>
        <v>3306.5999999999995</v>
      </c>
      <c r="I21" s="2">
        <f t="shared" si="31"/>
        <v>6613.1999999999989</v>
      </c>
      <c r="J21" s="3">
        <f t="shared" si="32"/>
        <v>1653.2999999999997</v>
      </c>
      <c r="K21">
        <f t="shared" si="33"/>
        <v>1653.2999999999997</v>
      </c>
      <c r="L21" s="1">
        <f t="shared" si="34"/>
        <v>3306.5999999999995</v>
      </c>
      <c r="M21" s="2">
        <f t="shared" si="35"/>
        <v>6613.1999999999989</v>
      </c>
      <c r="N21" s="3">
        <f t="shared" si="36"/>
        <v>1653.2999999999997</v>
      </c>
      <c r="O21">
        <f t="shared" si="37"/>
        <v>55.109999999999992</v>
      </c>
      <c r="P21">
        <v>2020</v>
      </c>
      <c r="Q21">
        <v>1</v>
      </c>
      <c r="R21">
        <v>1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91B62-346D-B842-8AC4-086FCDDA4127}">
  <dimension ref="A1:C9"/>
  <sheetViews>
    <sheetView workbookViewId="0">
      <selection activeCell="A10" sqref="A10"/>
    </sheetView>
  </sheetViews>
  <sheetFormatPr baseColWidth="10" defaultRowHeight="16" x14ac:dyDescent="0.2"/>
  <sheetData>
    <row r="1" spans="1:3" x14ac:dyDescent="0.2">
      <c r="A1" t="s">
        <v>18</v>
      </c>
    </row>
    <row r="2" spans="1:3" x14ac:dyDescent="0.2">
      <c r="A2" t="s">
        <v>21</v>
      </c>
      <c r="B2" t="s">
        <v>22</v>
      </c>
    </row>
    <row r="3" spans="1:3" x14ac:dyDescent="0.2">
      <c r="A3" t="s">
        <v>16</v>
      </c>
      <c r="B3" t="s">
        <v>24</v>
      </c>
    </row>
    <row r="4" spans="1:3" x14ac:dyDescent="0.2">
      <c r="A4" t="s">
        <v>17</v>
      </c>
      <c r="B4" t="s">
        <v>23</v>
      </c>
      <c r="C4" t="s">
        <v>25</v>
      </c>
    </row>
    <row r="5" spans="1:3" x14ac:dyDescent="0.2">
      <c r="A5" t="s">
        <v>19</v>
      </c>
      <c r="B5" t="s">
        <v>20</v>
      </c>
    </row>
    <row r="6" spans="1:3" x14ac:dyDescent="0.2">
      <c r="A6" t="s">
        <v>26</v>
      </c>
      <c r="B6" t="s">
        <v>27</v>
      </c>
    </row>
    <row r="7" spans="1:3" x14ac:dyDescent="0.2">
      <c r="A7" t="s">
        <v>2</v>
      </c>
      <c r="B7" t="s">
        <v>28</v>
      </c>
    </row>
    <row r="8" spans="1:3" x14ac:dyDescent="0.2">
      <c r="A8" t="s">
        <v>1</v>
      </c>
      <c r="B8" t="s">
        <v>29</v>
      </c>
    </row>
    <row r="9" spans="1:3" x14ac:dyDescent="0.2">
      <c r="A9" t="s">
        <v>3</v>
      </c>
      <c r="B9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Tahvonen, Ossi</dc:creator>
  <cp:lastModifiedBy>Tahvonen, Ossi</cp:lastModifiedBy>
  <dcterms:created xsi:type="dcterms:W3CDTF">2026-03-19T05:41:30Z</dcterms:created>
  <dcterms:modified xsi:type="dcterms:W3CDTF">2026-03-19T06:14:23Z</dcterms:modified>
</cp:coreProperties>
</file>